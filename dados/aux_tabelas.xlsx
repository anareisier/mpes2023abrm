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Beatriz\Documents\PESSOAL\mpes2023abrm\dados\"/>
    </mc:Choice>
  </mc:AlternateContent>
  <xr:revisionPtr revIDLastSave="0" documentId="8_{8C1EC4CF-D5E1-4470-B3FA-661908DB888B}" xr6:coauthVersionLast="47" xr6:coauthVersionMax="47" xr10:uidLastSave="{00000000-0000-0000-0000-000000000000}"/>
  <bookViews>
    <workbookView xWindow="-110" yWindow="-110" windowWidth="19420" windowHeight="10300" xr2:uid="{2FFA2F1D-561A-45C8-8E80-1AE6EFC99C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C14" i="1"/>
  <c r="B14" i="1"/>
  <c r="E13" i="1"/>
  <c r="D14" i="1"/>
  <c r="D13" i="1"/>
  <c r="C13" i="1"/>
  <c r="B13" i="1"/>
  <c r="C10" i="1"/>
  <c r="D10" i="1"/>
  <c r="E10" i="1"/>
  <c r="C11" i="1"/>
  <c r="D11" i="1"/>
  <c r="E11" i="1"/>
  <c r="C12" i="1"/>
  <c r="D12" i="1"/>
  <c r="E12" i="1"/>
  <c r="C9" i="1"/>
  <c r="D9" i="1"/>
  <c r="E9" i="1"/>
  <c r="B12" i="1"/>
  <c r="C3" i="1"/>
  <c r="B10" i="1" s="1"/>
  <c r="C4" i="1"/>
  <c r="B11" i="1" s="1"/>
  <c r="C5" i="1"/>
  <c r="C2" i="1"/>
  <c r="B9" i="1" s="1"/>
</calcChain>
</file>

<file path=xl/sharedStrings.xml><?xml version="1.0" encoding="utf-8"?>
<sst xmlns="http://schemas.openxmlformats.org/spreadsheetml/2006/main" count="23" uniqueCount="18">
  <si>
    <t>Subsistema</t>
  </si>
  <si>
    <t>Volume Médio MWm</t>
  </si>
  <si>
    <t>Volume Médio MWh</t>
  </si>
  <si>
    <t>Preço Médio Contratos R$/MWh</t>
  </si>
  <si>
    <t>Preço Carga Prevista R$/MWh</t>
  </si>
  <si>
    <t>N</t>
  </si>
  <si>
    <t>NE</t>
  </si>
  <si>
    <t>S</t>
  </si>
  <si>
    <t>SE</t>
  </si>
  <si>
    <t>Preço Médio Mercado R$/MWh - Cenário A</t>
  </si>
  <si>
    <t>Preço Médio Mercado R$/MWh - Cenário B</t>
  </si>
  <si>
    <t>Ganho Preço Realizado</t>
  </si>
  <si>
    <t>Preço Realizado R$/MWh</t>
  </si>
  <si>
    <t>Ganho Preço Carga Prevista</t>
  </si>
  <si>
    <t>Ganho Preço Mercado - Cenário A</t>
  </si>
  <si>
    <t>Ganho Preço Mercado - Cenário B</t>
  </si>
  <si>
    <t>Total</t>
  </si>
  <si>
    <t>Diferença Ganho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</si>
</sst>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F110-5174-42E5-A759-73677455514A}">
  <dimension ref="A1:I14"/>
  <sheetViews>
    <sheetView tabSelected="1" workbookViewId="0">
      <selection activeCell="F14" sqref="F14"/>
    </sheetView>
  </sheetViews>
  <sheetFormatPr defaultRowHeight="14.5" x14ac:dyDescent="0.35"/>
  <cols>
    <col min="1" max="1" width="22.81640625" bestFit="1" customWidth="1"/>
    <col min="2" max="2" width="21.1796875" bestFit="1" customWidth="1"/>
    <col min="3" max="3" width="21.36328125" bestFit="1" customWidth="1"/>
    <col min="4" max="4" width="26.81640625" bestFit="1" customWidth="1"/>
    <col min="5" max="5" width="25.81640625" bestFit="1" customWidth="1"/>
    <col min="6" max="6" width="25.81640625" customWidth="1"/>
    <col min="7" max="7" width="18.54296875" bestFit="1" customWidth="1"/>
    <col min="8" max="8" width="25.1796875" bestFit="1" customWidth="1"/>
    <col min="9" max="9" width="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12</v>
      </c>
      <c r="H1" t="s">
        <v>4</v>
      </c>
    </row>
    <row r="2" spans="1:9" x14ac:dyDescent="0.35">
      <c r="A2" t="s">
        <v>5</v>
      </c>
      <c r="B2">
        <v>-5</v>
      </c>
      <c r="C2" s="1">
        <f>B2*744</f>
        <v>-3720</v>
      </c>
      <c r="D2">
        <v>220.2</v>
      </c>
      <c r="E2">
        <v>132.4</v>
      </c>
      <c r="F2">
        <v>110.5</v>
      </c>
      <c r="G2">
        <v>118.8</v>
      </c>
      <c r="H2">
        <v>119.548</v>
      </c>
      <c r="I2">
        <v>110.5</v>
      </c>
    </row>
    <row r="3" spans="1:9" x14ac:dyDescent="0.35">
      <c r="A3" t="s">
        <v>6</v>
      </c>
      <c r="B3">
        <v>-15</v>
      </c>
      <c r="C3" s="1">
        <f t="shared" ref="C3:C5" si="0">B3*744</f>
        <v>-11160</v>
      </c>
      <c r="D3">
        <v>225.5</v>
      </c>
      <c r="E3">
        <v>132.9</v>
      </c>
      <c r="F3">
        <v>107.5</v>
      </c>
      <c r="G3">
        <v>103.82</v>
      </c>
      <c r="H3">
        <v>119.548</v>
      </c>
      <c r="I3">
        <v>107.5</v>
      </c>
    </row>
    <row r="4" spans="1:9" x14ac:dyDescent="0.35">
      <c r="A4" t="s">
        <v>7</v>
      </c>
      <c r="B4">
        <v>-10</v>
      </c>
      <c r="C4" s="1">
        <f t="shared" si="0"/>
        <v>-7440</v>
      </c>
      <c r="D4">
        <v>231.4</v>
      </c>
      <c r="E4">
        <v>134.30000000000001</v>
      </c>
      <c r="F4">
        <v>112.5</v>
      </c>
      <c r="G4">
        <v>118.79</v>
      </c>
      <c r="H4">
        <v>119.548</v>
      </c>
      <c r="I4">
        <v>112.5</v>
      </c>
    </row>
    <row r="5" spans="1:9" x14ac:dyDescent="0.35">
      <c r="A5" t="s">
        <v>8</v>
      </c>
      <c r="B5">
        <v>-20</v>
      </c>
      <c r="C5" s="1">
        <f t="shared" si="0"/>
        <v>-14880</v>
      </c>
      <c r="D5">
        <v>245.7</v>
      </c>
      <c r="E5">
        <v>138.1</v>
      </c>
      <c r="F5">
        <v>112.5</v>
      </c>
      <c r="G5">
        <v>118.79</v>
      </c>
      <c r="H5">
        <v>119.548</v>
      </c>
      <c r="I5">
        <v>112.5</v>
      </c>
    </row>
    <row r="8" spans="1:9" x14ac:dyDescent="0.35">
      <c r="A8" s="1" t="s">
        <v>0</v>
      </c>
      <c r="B8" s="1" t="s">
        <v>14</v>
      </c>
      <c r="C8" s="1" t="s">
        <v>15</v>
      </c>
      <c r="D8" s="1" t="s">
        <v>11</v>
      </c>
      <c r="E8" s="1" t="s">
        <v>13</v>
      </c>
    </row>
    <row r="9" spans="1:9" x14ac:dyDescent="0.35">
      <c r="A9" s="1" t="s">
        <v>5</v>
      </c>
      <c r="B9" s="1">
        <f>$C2*(E2-$D2)</f>
        <v>326615.99999999994</v>
      </c>
      <c r="C9" s="1">
        <f t="shared" ref="C9:E9" si="1">$C2*(F2-$D2)</f>
        <v>408083.99999999994</v>
      </c>
      <c r="D9" s="1">
        <f t="shared" si="1"/>
        <v>377207.99999999994</v>
      </c>
      <c r="E9" s="1">
        <f t="shared" si="1"/>
        <v>374425.43999999994</v>
      </c>
    </row>
    <row r="10" spans="1:9" x14ac:dyDescent="0.35">
      <c r="A10" s="1" t="s">
        <v>6</v>
      </c>
      <c r="B10" s="1">
        <f t="shared" ref="B10:B12" si="2">$C3*(E3-$D3)</f>
        <v>1033415.9999999999</v>
      </c>
      <c r="C10" s="1">
        <f t="shared" ref="C10:C12" si="3">$C3*(F3-$D3)</f>
        <v>1316880</v>
      </c>
      <c r="D10" s="1">
        <f t="shared" ref="D10:D12" si="4">$C3*(G3-$D3)</f>
        <v>1357948.8</v>
      </c>
      <c r="E10" s="1">
        <f t="shared" ref="E10:E12" si="5">$C3*(H3-$D3)</f>
        <v>1182424.32</v>
      </c>
    </row>
    <row r="11" spans="1:9" x14ac:dyDescent="0.35">
      <c r="A11" s="1" t="s">
        <v>7</v>
      </c>
      <c r="B11" s="1">
        <f t="shared" si="2"/>
        <v>722424</v>
      </c>
      <c r="C11" s="1">
        <f t="shared" si="3"/>
        <v>884616</v>
      </c>
      <c r="D11" s="1">
        <f t="shared" si="4"/>
        <v>837818.4</v>
      </c>
      <c r="E11" s="1">
        <f t="shared" si="5"/>
        <v>832178.88</v>
      </c>
    </row>
    <row r="12" spans="1:9" x14ac:dyDescent="0.35">
      <c r="A12" s="1" t="s">
        <v>8</v>
      </c>
      <c r="B12" s="1">
        <f t="shared" si="2"/>
        <v>1601088</v>
      </c>
      <c r="C12" s="1">
        <f t="shared" si="3"/>
        <v>1982015.9999999998</v>
      </c>
      <c r="D12" s="1">
        <f t="shared" si="4"/>
        <v>1888420.7999999998</v>
      </c>
      <c r="E12" s="1">
        <f t="shared" si="5"/>
        <v>1877141.7599999998</v>
      </c>
    </row>
    <row r="13" spans="1:9" x14ac:dyDescent="0.35">
      <c r="A13" s="1" t="s">
        <v>16</v>
      </c>
      <c r="B13" s="1">
        <f>SUM(B9:B12)</f>
        <v>3683544</v>
      </c>
      <c r="C13" s="1">
        <f>SUM(C9:C12)</f>
        <v>4591596</v>
      </c>
      <c r="D13" s="1">
        <f>SUM(D9:D12)</f>
        <v>4461396</v>
      </c>
      <c r="E13" s="1">
        <f>SUM(E9:E12)</f>
        <v>4266170.4000000004</v>
      </c>
    </row>
    <row r="14" spans="1:9" x14ac:dyDescent="0.35">
      <c r="A14" s="1" t="s">
        <v>17</v>
      </c>
      <c r="B14" s="1">
        <f>B13-$D$13</f>
        <v>-777852</v>
      </c>
      <c r="C14" s="1">
        <f>C13-$D$13</f>
        <v>130200</v>
      </c>
      <c r="D14" s="1">
        <f>$D$13-D13</f>
        <v>0</v>
      </c>
      <c r="E14" s="1">
        <f>E13-$D$13</f>
        <v>-195225.59999999963</v>
      </c>
      <c r="F14">
        <f>E14/D13</f>
        <v>-4.3758859334611773E-2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</dc:creator>
  <cp:lastModifiedBy>Ana Beatriz</cp:lastModifiedBy>
  <dcterms:created xsi:type="dcterms:W3CDTF">2025-10-13T08:39:14Z</dcterms:created>
  <dcterms:modified xsi:type="dcterms:W3CDTF">2025-10-13T11:14:32Z</dcterms:modified>
</cp:coreProperties>
</file>